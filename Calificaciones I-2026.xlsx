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nderaciones" sheetId="1" r:id="rId4"/>
    <sheet state="visible" name="Cuaderno" sheetId="2" r:id="rId5"/>
    <sheet state="visible" name="Gestión del laboratorio" sheetId="3" r:id="rId6"/>
    <sheet state="visible" name="Quiz" sheetId="4" r:id="rId7"/>
    <sheet state="visible" name="Informes por bloque" sheetId="5" r:id="rId8"/>
    <sheet state="visible" name="Notas informes" sheetId="6" r:id="rId9"/>
    <sheet state="visible" name="Acumulado Bloque A" sheetId="7" r:id="rId10"/>
    <sheet state="visible" name="Seminario - Bloque B" sheetId="8" r:id="rId11"/>
    <sheet state="visible" name="Acumulado global" sheetId="9" r:id="rId12"/>
  </sheets>
  <definedNames/>
  <calcPr/>
  <extLst>
    <ext uri="GoogleSheetsCustomDataVersion2">
      <go:sheetsCustomData xmlns:go="http://customooxmlschemas.google.com/" r:id="rId13" roundtripDataChecksum="IcIvlMFhy08J08XvNXBWPIEle9hrduPY5zdBuZ9O2JY="/>
    </ext>
  </extLst>
</workbook>
</file>

<file path=xl/sharedStrings.xml><?xml version="1.0" encoding="utf-8"?>
<sst xmlns="http://schemas.openxmlformats.org/spreadsheetml/2006/main" count="178" uniqueCount="66">
  <si>
    <t>Bloque</t>
  </si>
  <si>
    <t>Porcentaje</t>
  </si>
  <si>
    <t>Fracción</t>
  </si>
  <si>
    <t>A</t>
  </si>
  <si>
    <t>B</t>
  </si>
  <si>
    <t>Aspecto a evaluar</t>
  </si>
  <si>
    <t>Cuaderno</t>
  </si>
  <si>
    <t>Apreciativa</t>
  </si>
  <si>
    <t>Quiz</t>
  </si>
  <si>
    <t>Informes</t>
  </si>
  <si>
    <t>Sección</t>
  </si>
  <si>
    <t>Ponderación</t>
  </si>
  <si>
    <t>Fecha, número y título</t>
  </si>
  <si>
    <t>Objetivo general</t>
  </si>
  <si>
    <t>Objetivos específicos</t>
  </si>
  <si>
    <t>Marco teórico</t>
  </si>
  <si>
    <t>Met. exp. - Esquemas</t>
  </si>
  <si>
    <t>Met. exp. - Cálculos</t>
  </si>
  <si>
    <t>Met. exp. - Toxicología</t>
  </si>
  <si>
    <t>Resultados y presentación</t>
  </si>
  <si>
    <t>Observaciones</t>
  </si>
  <si>
    <t>Total</t>
  </si>
  <si>
    <t>Semana</t>
  </si>
  <si>
    <t>AGUSTIN ANDRADE</t>
  </si>
  <si>
    <t>MAURICIO LEAL</t>
  </si>
  <si>
    <t>MARIA DANIELA MEDINA</t>
  </si>
  <si>
    <t>LUIS RIOS</t>
  </si>
  <si>
    <t>DANIELA RONDON</t>
  </si>
  <si>
    <t>20.05.26</t>
  </si>
  <si>
    <t>27.06.26</t>
  </si>
  <si>
    <t>03.06.26</t>
  </si>
  <si>
    <t>11.06.26</t>
  </si>
  <si>
    <t>17.06.26</t>
  </si>
  <si>
    <t>Resumen</t>
  </si>
  <si>
    <t>Introducción</t>
  </si>
  <si>
    <t>Objetivos</t>
  </si>
  <si>
    <t>Metodología experimental</t>
  </si>
  <si>
    <t>Resultados y discusiones</t>
  </si>
  <si>
    <t>Conclusiones</t>
  </si>
  <si>
    <t>Anexos</t>
  </si>
  <si>
    <t>Informe - Bloque A</t>
  </si>
  <si>
    <t>Estudiante</t>
  </si>
  <si>
    <t>Título y
resumen</t>
  </si>
  <si>
    <t>Resultados y
discusiones</t>
  </si>
  <si>
    <t>Informe - Bloque B</t>
  </si>
  <si>
    <t>Informe - Bloque C</t>
  </si>
  <si>
    <t>Informe - Bloque D</t>
  </si>
  <si>
    <t>Informe - Bloque E</t>
  </si>
  <si>
    <t>C</t>
  </si>
  <si>
    <t>D</t>
  </si>
  <si>
    <t>E</t>
  </si>
  <si>
    <t xml:space="preserve"> </t>
  </si>
  <si>
    <t>Gestión lababoratorio</t>
  </si>
  <si>
    <t>Informe</t>
  </si>
  <si>
    <t>Acumulado
Bloque A</t>
  </si>
  <si>
    <t>Bloque A
(85%)</t>
  </si>
  <si>
    <t>28233037</t>
  </si>
  <si>
    <t>27111264</t>
  </si>
  <si>
    <t>21073829</t>
  </si>
  <si>
    <t>29529906</t>
  </si>
  <si>
    <t>29501138</t>
  </si>
  <si>
    <t>Calificación</t>
  </si>
  <si>
    <t>Bloque B
(15%)</t>
  </si>
  <si>
    <t>Nota acumulada</t>
  </si>
  <si>
    <t>Nota Final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</si>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</sst>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sz val="11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B66C"/>
        <bgColor rgb="FFFFB66C"/>
      </patternFill>
    </fill>
    <fill>
      <patternFill patternType="solid">
        <fgColor rgb="FFFFDBB6"/>
        <bgColor rgb="FFFFDBB6"/>
      </patternFill>
    </fill>
    <fill>
      <patternFill patternType="solid">
        <fgColor rgb="FF77BC65"/>
        <bgColor rgb="FF77BC6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3" fontId="4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1" fillId="2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2" fillId="2" fontId="7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7" fillId="3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4" numFmtId="10" xfId="0" applyAlignment="1" applyBorder="1" applyFont="1" applyNumberFormat="1">
      <alignment horizontal="center" shrinkToFit="0" vertical="center" wrapText="1"/>
    </xf>
    <xf borderId="1" fillId="4" fontId="2" numFmtId="1" xfId="0" applyAlignment="1" applyBorder="1" applyFill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/>
    <row r="2" ht="12.75" customHeight="1">
      <c r="B2" s="1" t="s">
        <v>0</v>
      </c>
      <c r="C2" s="1" t="s">
        <v>1</v>
      </c>
      <c r="D2" s="1" t="s">
        <v>2</v>
      </c>
    </row>
    <row r="3" ht="12.75" customHeight="1">
      <c r="B3" s="2" t="s">
        <v>3</v>
      </c>
      <c r="C3" s="2">
        <v>85.0</v>
      </c>
      <c r="D3" s="2">
        <f t="shared" ref="D3:D4" si="1">C3/100</f>
        <v>0.85</v>
      </c>
    </row>
    <row r="4" ht="12.75" customHeight="1">
      <c r="B4" s="2" t="s">
        <v>4</v>
      </c>
      <c r="C4" s="2">
        <v>15.0</v>
      </c>
      <c r="D4" s="2">
        <f t="shared" si="1"/>
        <v>0.15</v>
      </c>
    </row>
    <row r="5" ht="12.75" customHeight="1"/>
    <row r="6" ht="12.75" customHeight="1">
      <c r="B6" s="3" t="s">
        <v>5</v>
      </c>
      <c r="C6" s="4" t="s">
        <v>1</v>
      </c>
      <c r="D6" s="4" t="s">
        <v>2</v>
      </c>
    </row>
    <row r="7" ht="12.75" customHeight="1">
      <c r="B7" s="5" t="s">
        <v>6</v>
      </c>
      <c r="C7" s="5">
        <v>20.0</v>
      </c>
      <c r="D7" s="5">
        <f t="shared" ref="D7:D10" si="2">C7/100</f>
        <v>0.2</v>
      </c>
    </row>
    <row r="8" ht="12.75" customHeight="1">
      <c r="B8" s="5" t="s">
        <v>7</v>
      </c>
      <c r="C8" s="5">
        <v>15.0</v>
      </c>
      <c r="D8" s="5">
        <f t="shared" si="2"/>
        <v>0.15</v>
      </c>
    </row>
    <row r="9" ht="12.75" customHeight="1">
      <c r="B9" s="5" t="s">
        <v>8</v>
      </c>
      <c r="C9" s="5">
        <v>25.0</v>
      </c>
      <c r="D9" s="5">
        <f t="shared" si="2"/>
        <v>0.25</v>
      </c>
    </row>
    <row r="10" ht="12.75" customHeight="1">
      <c r="B10" s="5" t="s">
        <v>9</v>
      </c>
      <c r="C10" s="5">
        <v>40.0</v>
      </c>
      <c r="D10" s="5">
        <f t="shared" si="2"/>
        <v>0.4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4.38"/>
    <col customWidth="1" min="3" max="12" width="11.5"/>
  </cols>
  <sheetData>
    <row r="1" ht="12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2.75" customHeight="1">
      <c r="A2" s="6"/>
      <c r="B2" s="7" t="s">
        <v>10</v>
      </c>
      <c r="C2" s="7" t="s">
        <v>11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2.75" customHeight="1">
      <c r="A3" s="6"/>
      <c r="B3" s="7" t="s">
        <v>12</v>
      </c>
      <c r="C3" s="7">
        <v>1.0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2.75" customHeight="1">
      <c r="A4" s="6"/>
      <c r="B4" s="8" t="s">
        <v>13</v>
      </c>
      <c r="C4" s="8">
        <v>1.0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2.75" customHeight="1">
      <c r="A5" s="6"/>
      <c r="B5" s="8" t="s">
        <v>14</v>
      </c>
      <c r="C5" s="8">
        <v>1.0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2.75" customHeight="1">
      <c r="A6" s="6"/>
      <c r="B6" s="7" t="s">
        <v>15</v>
      </c>
      <c r="C6" s="8">
        <v>5.0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2.75" customHeight="1">
      <c r="A7" s="6"/>
      <c r="B7" s="8" t="s">
        <v>16</v>
      </c>
      <c r="C7" s="8">
        <v>3.0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2.75" customHeight="1">
      <c r="A8" s="6"/>
      <c r="B8" s="8" t="s">
        <v>17</v>
      </c>
      <c r="C8" s="8">
        <v>2.0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2.75" customHeight="1">
      <c r="A9" s="6"/>
      <c r="B9" s="8" t="s">
        <v>18</v>
      </c>
      <c r="C9" s="8">
        <v>1.0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2.75" customHeight="1">
      <c r="A10" s="6"/>
      <c r="B10" s="8" t="s">
        <v>19</v>
      </c>
      <c r="C10" s="8">
        <v>4.0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12.75" customHeight="1">
      <c r="A11" s="6"/>
      <c r="B11" s="8" t="s">
        <v>20</v>
      </c>
      <c r="C11" s="8">
        <v>2.0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2.75" customHeight="1">
      <c r="A12" s="6"/>
      <c r="B12" s="7" t="s">
        <v>21</v>
      </c>
      <c r="C12" s="7">
        <f>SUM(C3:C11)</f>
        <v>20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2.75" customHeight="1">
      <c r="A14" s="6"/>
      <c r="B14" s="6"/>
      <c r="C14" s="9" t="s">
        <v>22</v>
      </c>
      <c r="D14" s="10"/>
      <c r="E14" s="10"/>
      <c r="F14" s="10"/>
      <c r="G14" s="10"/>
      <c r="H14" s="10"/>
      <c r="I14" s="10"/>
      <c r="J14" s="10"/>
      <c r="K14" s="10"/>
      <c r="L14" s="11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2.75" customHeight="1">
      <c r="A15" s="6"/>
      <c r="B15" s="6"/>
      <c r="C15" s="12">
        <v>1.0</v>
      </c>
      <c r="D15" s="12">
        <v>2.0</v>
      </c>
      <c r="E15" s="12">
        <v>3.0</v>
      </c>
      <c r="F15" s="12">
        <v>4.0</v>
      </c>
      <c r="G15" s="12">
        <v>5.0</v>
      </c>
      <c r="H15" s="12">
        <v>6.0</v>
      </c>
      <c r="I15" s="12">
        <v>7.0</v>
      </c>
      <c r="J15" s="12">
        <v>8.0</v>
      </c>
      <c r="K15" s="12">
        <v>9.0</v>
      </c>
      <c r="L15" s="12">
        <v>10.0</v>
      </c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2.75" customHeight="1">
      <c r="A16" s="6"/>
      <c r="B16" s="13" t="s">
        <v>23</v>
      </c>
      <c r="C16" s="8">
        <v>16.5</v>
      </c>
      <c r="D16" s="8">
        <v>19.75</v>
      </c>
      <c r="E16" s="8">
        <v>19.0</v>
      </c>
      <c r="F16" s="8">
        <v>16.75</v>
      </c>
      <c r="G16" s="7">
        <v>0.0</v>
      </c>
      <c r="H16" s="7">
        <v>0.0</v>
      </c>
      <c r="I16" s="7">
        <v>0.0</v>
      </c>
      <c r="J16" s="7">
        <v>0.0</v>
      </c>
      <c r="K16" s="7">
        <v>0.0</v>
      </c>
      <c r="L16" s="7">
        <v>0.0</v>
      </c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2.75" customHeight="1">
      <c r="A17" s="6"/>
      <c r="B17" s="13" t="s">
        <v>24</v>
      </c>
      <c r="C17" s="8">
        <v>14.75</v>
      </c>
      <c r="D17" s="8">
        <v>17.75</v>
      </c>
      <c r="E17" s="8">
        <v>19.75</v>
      </c>
      <c r="F17" s="8">
        <v>16.75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6"/>
      <c r="B18" s="13" t="s">
        <v>25</v>
      </c>
      <c r="C18" s="8">
        <v>19.5</v>
      </c>
      <c r="D18" s="8">
        <v>19.75</v>
      </c>
      <c r="E18" s="8">
        <v>19.75</v>
      </c>
      <c r="F18" s="8">
        <v>20.0</v>
      </c>
      <c r="G18" s="7">
        <v>0.0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2.75" customHeight="1">
      <c r="A19" s="6"/>
      <c r="B19" s="13" t="s">
        <v>26</v>
      </c>
      <c r="C19" s="8">
        <v>19.25</v>
      </c>
      <c r="D19" s="7">
        <v>0.0</v>
      </c>
      <c r="E19" s="8">
        <v>19.75</v>
      </c>
      <c r="F19" s="8">
        <v>19.0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2.75" customHeight="1">
      <c r="A20" s="6"/>
      <c r="B20" s="13" t="s">
        <v>27</v>
      </c>
      <c r="C20" s="8">
        <v>19.5</v>
      </c>
      <c r="D20" s="7">
        <v>0.0</v>
      </c>
      <c r="E20" s="8">
        <v>20.0</v>
      </c>
      <c r="F20" s="8">
        <v>20.0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</sheetData>
  <mergeCells count="1">
    <mergeCell ref="C14:L14"/>
  </mergeCells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4.38"/>
    <col customWidth="1" min="3" max="12" width="11.5"/>
  </cols>
  <sheetData>
    <row r="1" ht="12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2.75" customHeight="1">
      <c r="A2" s="6"/>
      <c r="B2" s="6"/>
      <c r="C2" s="9" t="s">
        <v>22</v>
      </c>
      <c r="D2" s="10"/>
      <c r="E2" s="10"/>
      <c r="F2" s="10"/>
      <c r="G2" s="10"/>
      <c r="H2" s="10"/>
      <c r="I2" s="10"/>
      <c r="J2" s="10"/>
      <c r="K2" s="10"/>
      <c r="L2" s="11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12.75" customHeight="1">
      <c r="A3" s="6"/>
      <c r="B3" s="6"/>
      <c r="C3" s="12">
        <v>1.0</v>
      </c>
      <c r="D3" s="12">
        <v>2.0</v>
      </c>
      <c r="E3" s="12">
        <v>3.0</v>
      </c>
      <c r="F3" s="12">
        <v>4.0</v>
      </c>
      <c r="G3" s="12">
        <v>5.0</v>
      </c>
      <c r="H3" s="12">
        <v>6.0</v>
      </c>
      <c r="I3" s="12">
        <v>7.0</v>
      </c>
      <c r="J3" s="12">
        <v>8.0</v>
      </c>
      <c r="K3" s="12">
        <v>9.0</v>
      </c>
      <c r="L3" s="12">
        <v>10.0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2.75" customHeight="1">
      <c r="A4" s="6"/>
      <c r="B4" s="13" t="s">
        <v>23</v>
      </c>
      <c r="C4" s="8">
        <v>20.0</v>
      </c>
      <c r="D4" s="8">
        <v>20.0</v>
      </c>
      <c r="E4" s="8">
        <v>20.0</v>
      </c>
      <c r="F4" s="8">
        <v>10.0</v>
      </c>
      <c r="G4" s="8">
        <v>20.0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2.75" customHeight="1">
      <c r="A5" s="6"/>
      <c r="B5" s="13" t="s">
        <v>24</v>
      </c>
      <c r="C5" s="8">
        <v>15.0</v>
      </c>
      <c r="D5" s="8">
        <v>17.0</v>
      </c>
      <c r="E5" s="8">
        <v>20.0</v>
      </c>
      <c r="F5" s="8">
        <v>20.0</v>
      </c>
      <c r="G5" s="8">
        <v>17.0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2.75" customHeight="1">
      <c r="A6" s="6"/>
      <c r="B6" s="13" t="s">
        <v>25</v>
      </c>
      <c r="C6" s="8">
        <v>15.0</v>
      </c>
      <c r="D6" s="8">
        <v>20.0</v>
      </c>
      <c r="E6" s="8">
        <v>15.0</v>
      </c>
      <c r="F6" s="8">
        <v>10.0</v>
      </c>
      <c r="G6" s="8">
        <v>17.0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2.75" customHeight="1">
      <c r="A7" s="6"/>
      <c r="B7" s="13" t="s">
        <v>26</v>
      </c>
      <c r="C7" s="8">
        <v>20.0</v>
      </c>
      <c r="D7" s="8">
        <v>20.0</v>
      </c>
      <c r="E7" s="8">
        <v>20.0</v>
      </c>
      <c r="F7" s="8">
        <v>10.0</v>
      </c>
      <c r="G7" s="8">
        <v>17.0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2.75" customHeight="1">
      <c r="A8" s="6"/>
      <c r="B8" s="13" t="s">
        <v>27</v>
      </c>
      <c r="C8" s="8">
        <v>20.0</v>
      </c>
      <c r="D8" s="8">
        <v>20.0</v>
      </c>
      <c r="E8" s="8">
        <v>15.0</v>
      </c>
      <c r="F8" s="8">
        <v>20.0</v>
      </c>
      <c r="G8" s="8">
        <v>20.0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2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2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2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2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</sheetData>
  <mergeCells count="1">
    <mergeCell ref="C2:L2"/>
  </mergeCells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4.38"/>
    <col customWidth="1" min="3" max="13" width="11.5"/>
  </cols>
  <sheetData>
    <row r="1" ht="12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2.75" customHeight="1">
      <c r="A2" s="6"/>
      <c r="B2" s="6"/>
      <c r="C2" s="9" t="s">
        <v>22</v>
      </c>
      <c r="D2" s="10"/>
      <c r="E2" s="10"/>
      <c r="F2" s="10"/>
      <c r="G2" s="10"/>
      <c r="H2" s="10"/>
      <c r="I2" s="10"/>
      <c r="J2" s="10"/>
      <c r="K2" s="10"/>
      <c r="L2" s="11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12.75" customHeight="1">
      <c r="A3" s="6"/>
      <c r="B3" s="6"/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  <c r="H3" s="12"/>
      <c r="I3" s="12"/>
      <c r="J3" s="12"/>
      <c r="K3" s="12"/>
      <c r="L3" s="12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2.75" customHeight="1">
      <c r="A4" s="6"/>
      <c r="B4" s="6"/>
      <c r="C4" s="12">
        <v>1.0</v>
      </c>
      <c r="D4" s="12">
        <v>2.0</v>
      </c>
      <c r="E4" s="12">
        <v>3.0</v>
      </c>
      <c r="F4" s="12">
        <v>4.0</v>
      </c>
      <c r="G4" s="12">
        <v>5.0</v>
      </c>
      <c r="H4" s="12">
        <v>6.0</v>
      </c>
      <c r="I4" s="12">
        <v>7.0</v>
      </c>
      <c r="J4" s="12">
        <v>8.0</v>
      </c>
      <c r="K4" s="12">
        <v>9.0</v>
      </c>
      <c r="L4" s="12">
        <v>10.0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2.75" customHeight="1">
      <c r="A5" s="6"/>
      <c r="B5" s="13" t="s">
        <v>23</v>
      </c>
      <c r="C5" s="8">
        <v>18.0</v>
      </c>
      <c r="D5" s="8">
        <v>20.0</v>
      </c>
      <c r="E5" s="8">
        <v>17.0</v>
      </c>
      <c r="F5" s="8">
        <v>17.5</v>
      </c>
      <c r="G5" s="8">
        <v>13.0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2.75" customHeight="1">
      <c r="A6" s="6"/>
      <c r="B6" s="13" t="s">
        <v>24</v>
      </c>
      <c r="C6" s="8">
        <v>16.5</v>
      </c>
      <c r="D6" s="8">
        <v>18.5</v>
      </c>
      <c r="E6" s="8">
        <v>17.0</v>
      </c>
      <c r="F6" s="8">
        <v>20.0</v>
      </c>
      <c r="G6" s="8">
        <v>18.5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2.75" customHeight="1">
      <c r="A7" s="6"/>
      <c r="B7" s="13" t="s">
        <v>25</v>
      </c>
      <c r="C7" s="8">
        <v>14.0</v>
      </c>
      <c r="D7" s="8">
        <v>11.5</v>
      </c>
      <c r="E7" s="8">
        <v>14.0</v>
      </c>
      <c r="F7" s="8">
        <v>11.5</v>
      </c>
      <c r="G7" s="8">
        <v>13.0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2.75" customHeight="1">
      <c r="A8" s="6"/>
      <c r="B8" s="13" t="s">
        <v>26</v>
      </c>
      <c r="C8" s="8">
        <v>18.5</v>
      </c>
      <c r="D8" s="8">
        <v>19.0</v>
      </c>
      <c r="E8" s="8">
        <v>20.0</v>
      </c>
      <c r="F8" s="8">
        <v>20.0</v>
      </c>
      <c r="G8" s="8">
        <v>17.0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2.75" customHeight="1">
      <c r="A9" s="6"/>
      <c r="B9" s="13" t="s">
        <v>27</v>
      </c>
      <c r="C9" s="8">
        <v>17.0</v>
      </c>
      <c r="D9" s="8">
        <v>13.5</v>
      </c>
      <c r="E9" s="8">
        <v>19.0</v>
      </c>
      <c r="F9" s="8">
        <v>17.0</v>
      </c>
      <c r="G9" s="8">
        <v>17.5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2.75" customHeight="1">
      <c r="A10" s="6"/>
      <c r="B10" s="6"/>
      <c r="C10" s="6"/>
      <c r="D10" s="1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2.75" customHeight="1">
      <c r="A11" s="6"/>
      <c r="B11" s="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2.75" customHeight="1">
      <c r="A12" s="6"/>
      <c r="B12" s="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2.75" customHeight="1">
      <c r="A13" s="6"/>
      <c r="B13" s="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12.75" customHeight="1">
      <c r="A14" s="6"/>
      <c r="B14" s="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12.75" customHeight="1">
      <c r="A15" s="6"/>
      <c r="B15" s="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12.75" customHeight="1">
      <c r="A16" s="6"/>
      <c r="B16" s="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12.75" customHeight="1">
      <c r="A17" s="6"/>
      <c r="B17" s="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12.75" customHeight="1">
      <c r="A18" s="6"/>
      <c r="B18" s="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12.75" customHeight="1">
      <c r="A19" s="6"/>
      <c r="B19" s="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12.75" customHeight="1">
      <c r="A20" s="6"/>
      <c r="B20" s="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</sheetData>
  <mergeCells count="1">
    <mergeCell ref="C2:L2"/>
  </mergeCells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2.75"/>
    <col customWidth="1" min="3" max="3" width="11.25"/>
    <col customWidth="1" min="4" max="9" width="11.5"/>
  </cols>
  <sheetData>
    <row r="1" ht="12.75" customHeight="1">
      <c r="A1" s="6"/>
      <c r="B1" s="6"/>
      <c r="C1" s="6"/>
      <c r="D1" s="6"/>
      <c r="E1" s="6"/>
      <c r="F1" s="6"/>
      <c r="G1" s="6"/>
      <c r="H1" s="6"/>
      <c r="I1" s="1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/>
      <c r="B2" s="18" t="s">
        <v>10</v>
      </c>
      <c r="C2" s="18" t="s">
        <v>11</v>
      </c>
      <c r="D2" s="6"/>
      <c r="E2" s="6"/>
      <c r="F2" s="6"/>
      <c r="G2" s="6"/>
      <c r="H2" s="6"/>
      <c r="I2" s="1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/>
      <c r="B3" s="19" t="s">
        <v>33</v>
      </c>
      <c r="C3" s="7">
        <v>2.0</v>
      </c>
      <c r="D3" s="6"/>
      <c r="E3" s="6"/>
      <c r="F3" s="6"/>
      <c r="G3" s="6"/>
      <c r="H3" s="6"/>
      <c r="I3" s="1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/>
      <c r="B4" s="19" t="s">
        <v>34</v>
      </c>
      <c r="C4" s="7">
        <v>1.0</v>
      </c>
      <c r="D4" s="6"/>
      <c r="E4" s="6"/>
      <c r="F4" s="6"/>
      <c r="G4" s="6"/>
      <c r="H4" s="6"/>
      <c r="I4" s="1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/>
      <c r="B5" s="19" t="s">
        <v>35</v>
      </c>
      <c r="C5" s="7">
        <v>2.0</v>
      </c>
      <c r="D5" s="6"/>
      <c r="E5" s="6"/>
      <c r="F5" s="6"/>
      <c r="G5" s="6"/>
      <c r="H5" s="6"/>
      <c r="I5" s="1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/>
      <c r="B6" s="19" t="s">
        <v>36</v>
      </c>
      <c r="C6" s="7">
        <v>1.0</v>
      </c>
      <c r="D6" s="6"/>
      <c r="E6" s="6"/>
      <c r="F6" s="6"/>
      <c r="G6" s="6"/>
      <c r="H6" s="6"/>
      <c r="I6" s="1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/>
      <c r="B7" s="19" t="s">
        <v>37</v>
      </c>
      <c r="C7" s="7">
        <v>10.0</v>
      </c>
      <c r="D7" s="6"/>
      <c r="E7" s="6"/>
      <c r="F7" s="6"/>
      <c r="G7" s="6"/>
      <c r="H7" s="6"/>
      <c r="I7" s="1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/>
      <c r="B8" s="19" t="s">
        <v>38</v>
      </c>
      <c r="C8" s="7">
        <v>3.0</v>
      </c>
      <c r="D8" s="6"/>
      <c r="E8" s="6"/>
      <c r="F8" s="6"/>
      <c r="G8" s="6"/>
      <c r="H8" s="6"/>
      <c r="I8" s="1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/>
      <c r="B9" s="19" t="s">
        <v>39</v>
      </c>
      <c r="C9" s="7">
        <v>1.0</v>
      </c>
      <c r="D9" s="6"/>
      <c r="E9" s="6"/>
      <c r="F9" s="6"/>
      <c r="G9" s="6"/>
      <c r="H9" s="6"/>
      <c r="I9" s="1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/>
      <c r="B10" s="19" t="s">
        <v>21</v>
      </c>
      <c r="C10" s="7">
        <f>SUM(C3:C9)</f>
        <v>20</v>
      </c>
      <c r="D10" s="6"/>
      <c r="E10" s="6"/>
      <c r="F10" s="6"/>
      <c r="G10" s="6"/>
      <c r="H10" s="6"/>
      <c r="I10" s="1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/>
      <c r="B11" s="6"/>
      <c r="C11" s="6"/>
      <c r="D11" s="6"/>
      <c r="E11" s="6"/>
      <c r="F11" s="6"/>
      <c r="G11" s="6"/>
      <c r="H11" s="6"/>
      <c r="I11" s="1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/>
      <c r="B12" s="20" t="s">
        <v>40</v>
      </c>
      <c r="C12" s="10"/>
      <c r="D12" s="10"/>
      <c r="E12" s="10"/>
      <c r="F12" s="10"/>
      <c r="G12" s="10"/>
      <c r="H12" s="10"/>
      <c r="I12" s="11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5.5" customHeight="1">
      <c r="A13" s="6"/>
      <c r="B13" s="12" t="s">
        <v>41</v>
      </c>
      <c r="C13" s="21" t="s">
        <v>42</v>
      </c>
      <c r="D13" s="12" t="s">
        <v>34</v>
      </c>
      <c r="E13" s="12" t="s">
        <v>35</v>
      </c>
      <c r="F13" s="21" t="s">
        <v>36</v>
      </c>
      <c r="G13" s="21" t="s">
        <v>43</v>
      </c>
      <c r="H13" s="12" t="s">
        <v>38</v>
      </c>
      <c r="I13" s="12" t="s">
        <v>39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/>
      <c r="B14" s="13" t="s">
        <v>23</v>
      </c>
      <c r="C14" s="8">
        <v>1.0</v>
      </c>
      <c r="D14" s="8">
        <v>0.6</v>
      </c>
      <c r="E14" s="8">
        <v>1.75</v>
      </c>
      <c r="F14" s="8">
        <v>0.75</v>
      </c>
      <c r="G14" s="8">
        <v>5.0</v>
      </c>
      <c r="H14" s="8">
        <v>2.0</v>
      </c>
      <c r="I14" s="22">
        <v>0.5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/>
      <c r="B15" s="13" t="s">
        <v>24</v>
      </c>
      <c r="C15" s="8">
        <v>1.4</v>
      </c>
      <c r="D15" s="8">
        <v>0.5</v>
      </c>
      <c r="E15" s="8">
        <v>1.75</v>
      </c>
      <c r="F15" s="8">
        <v>1.0</v>
      </c>
      <c r="G15" s="8">
        <v>7.0</v>
      </c>
      <c r="H15" s="8">
        <v>3.0</v>
      </c>
      <c r="I15" s="22">
        <v>1.0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13" t="s">
        <v>25</v>
      </c>
      <c r="C16" s="8">
        <v>1.0</v>
      </c>
      <c r="D16" s="8">
        <v>0.6</v>
      </c>
      <c r="E16" s="8">
        <v>1.75</v>
      </c>
      <c r="F16" s="8">
        <v>0.75</v>
      </c>
      <c r="G16" s="8">
        <v>5.0</v>
      </c>
      <c r="H16" s="8">
        <v>2.0</v>
      </c>
      <c r="I16" s="22">
        <v>0.5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13" t="s">
        <v>26</v>
      </c>
      <c r="C17" s="8">
        <v>1.4</v>
      </c>
      <c r="D17" s="8">
        <v>0.5</v>
      </c>
      <c r="E17" s="8">
        <v>1.75</v>
      </c>
      <c r="F17" s="8">
        <v>1.0</v>
      </c>
      <c r="G17" s="8">
        <v>7.0</v>
      </c>
      <c r="H17" s="8">
        <v>3.0</v>
      </c>
      <c r="I17" s="22">
        <v>1.0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13" t="s">
        <v>27</v>
      </c>
      <c r="C18" s="8">
        <v>2.0</v>
      </c>
      <c r="D18" s="8">
        <v>1.0</v>
      </c>
      <c r="E18" s="8">
        <v>2.0</v>
      </c>
      <c r="F18" s="8">
        <v>1.0</v>
      </c>
      <c r="G18" s="8">
        <v>10.0</v>
      </c>
      <c r="H18" s="8">
        <v>3.0</v>
      </c>
      <c r="I18" s="22">
        <v>1.0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1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1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20" t="s">
        <v>44</v>
      </c>
      <c r="C21" s="10"/>
      <c r="D21" s="10"/>
      <c r="E21" s="10"/>
      <c r="F21" s="10"/>
      <c r="G21" s="10"/>
      <c r="H21" s="10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6.25" customHeight="1">
      <c r="A22" s="6"/>
      <c r="B22" s="12" t="s">
        <v>41</v>
      </c>
      <c r="C22" s="21" t="s">
        <v>42</v>
      </c>
      <c r="D22" s="12" t="s">
        <v>34</v>
      </c>
      <c r="E22" s="12" t="s">
        <v>35</v>
      </c>
      <c r="F22" s="21" t="s">
        <v>36</v>
      </c>
      <c r="G22" s="21" t="s">
        <v>43</v>
      </c>
      <c r="H22" s="12" t="s">
        <v>38</v>
      </c>
      <c r="I22" s="12" t="s">
        <v>39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13" t="s">
        <v>23</v>
      </c>
      <c r="C23" s="7"/>
      <c r="D23" s="7"/>
      <c r="E23" s="7"/>
      <c r="F23" s="7"/>
      <c r="G23" s="7"/>
      <c r="H23" s="7"/>
      <c r="I23" s="23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13" t="s">
        <v>24</v>
      </c>
      <c r="C24" s="7"/>
      <c r="D24" s="7"/>
      <c r="E24" s="7"/>
      <c r="F24" s="7"/>
      <c r="G24" s="7"/>
      <c r="H24" s="7"/>
      <c r="I24" s="23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13" t="s">
        <v>25</v>
      </c>
      <c r="C25" s="7"/>
      <c r="D25" s="7"/>
      <c r="E25" s="7"/>
      <c r="F25" s="7"/>
      <c r="G25" s="7"/>
      <c r="H25" s="7"/>
      <c r="I25" s="2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13" t="s">
        <v>26</v>
      </c>
      <c r="C26" s="7"/>
      <c r="D26" s="7"/>
      <c r="E26" s="7"/>
      <c r="F26" s="7"/>
      <c r="G26" s="7"/>
      <c r="H26" s="7"/>
      <c r="I26" s="23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13" t="s">
        <v>27</v>
      </c>
      <c r="C27" s="7"/>
      <c r="D27" s="7"/>
      <c r="E27" s="7"/>
      <c r="F27" s="7"/>
      <c r="G27" s="7"/>
      <c r="H27" s="7"/>
      <c r="I27" s="23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1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1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20" t="s">
        <v>45</v>
      </c>
      <c r="C30" s="10"/>
      <c r="D30" s="10"/>
      <c r="E30" s="10"/>
      <c r="F30" s="10"/>
      <c r="G30" s="10"/>
      <c r="H30" s="10"/>
      <c r="I30" s="11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7.0" customHeight="1">
      <c r="A31" s="6"/>
      <c r="B31" s="12" t="s">
        <v>41</v>
      </c>
      <c r="C31" s="21" t="s">
        <v>42</v>
      </c>
      <c r="D31" s="12" t="s">
        <v>34</v>
      </c>
      <c r="E31" s="12" t="s">
        <v>35</v>
      </c>
      <c r="F31" s="21" t="s">
        <v>36</v>
      </c>
      <c r="G31" s="21" t="s">
        <v>43</v>
      </c>
      <c r="H31" s="12" t="s">
        <v>38</v>
      </c>
      <c r="I31" s="12" t="s">
        <v>39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13" t="s">
        <v>23</v>
      </c>
      <c r="C32" s="7"/>
      <c r="D32" s="7"/>
      <c r="E32" s="7"/>
      <c r="F32" s="7"/>
      <c r="G32" s="7"/>
      <c r="H32" s="7"/>
      <c r="I32" s="23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13" t="s">
        <v>24</v>
      </c>
      <c r="C33" s="7"/>
      <c r="D33" s="7"/>
      <c r="E33" s="7"/>
      <c r="F33" s="7"/>
      <c r="G33" s="7"/>
      <c r="H33" s="7"/>
      <c r="I33" s="23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13" t="s">
        <v>25</v>
      </c>
      <c r="C34" s="7"/>
      <c r="D34" s="7"/>
      <c r="E34" s="7"/>
      <c r="F34" s="7"/>
      <c r="G34" s="7"/>
      <c r="H34" s="7"/>
      <c r="I34" s="23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13" t="s">
        <v>26</v>
      </c>
      <c r="C35" s="7"/>
      <c r="D35" s="7"/>
      <c r="E35" s="7"/>
      <c r="F35" s="7"/>
      <c r="G35" s="7"/>
      <c r="H35" s="7"/>
      <c r="I35" s="23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13" t="s">
        <v>27</v>
      </c>
      <c r="C36" s="7"/>
      <c r="D36" s="7"/>
      <c r="E36" s="7"/>
      <c r="F36" s="7"/>
      <c r="G36" s="7"/>
      <c r="H36" s="7"/>
      <c r="I36" s="23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17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1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20" t="s">
        <v>46</v>
      </c>
      <c r="C39" s="10"/>
      <c r="D39" s="10"/>
      <c r="E39" s="10"/>
      <c r="F39" s="10"/>
      <c r="G39" s="10"/>
      <c r="H39" s="10"/>
      <c r="I39" s="11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75" customHeight="1">
      <c r="A40" s="6"/>
      <c r="B40" s="12" t="s">
        <v>41</v>
      </c>
      <c r="C40" s="21" t="s">
        <v>42</v>
      </c>
      <c r="D40" s="12" t="s">
        <v>34</v>
      </c>
      <c r="E40" s="12" t="s">
        <v>35</v>
      </c>
      <c r="F40" s="21" t="s">
        <v>36</v>
      </c>
      <c r="G40" s="21" t="s">
        <v>43</v>
      </c>
      <c r="H40" s="12" t="s">
        <v>38</v>
      </c>
      <c r="I40" s="12" t="s">
        <v>39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13" t="s">
        <v>23</v>
      </c>
      <c r="C41" s="7"/>
      <c r="D41" s="7"/>
      <c r="E41" s="7"/>
      <c r="F41" s="7"/>
      <c r="G41" s="7"/>
      <c r="H41" s="7"/>
      <c r="I41" s="23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13" t="s">
        <v>24</v>
      </c>
      <c r="C42" s="7"/>
      <c r="D42" s="7"/>
      <c r="E42" s="7"/>
      <c r="F42" s="7"/>
      <c r="G42" s="7"/>
      <c r="H42" s="7"/>
      <c r="I42" s="23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13" t="s">
        <v>25</v>
      </c>
      <c r="C43" s="7"/>
      <c r="D43" s="7"/>
      <c r="E43" s="7"/>
      <c r="F43" s="7"/>
      <c r="G43" s="7"/>
      <c r="H43" s="7"/>
      <c r="I43" s="23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13" t="s">
        <v>26</v>
      </c>
      <c r="C44" s="7"/>
      <c r="D44" s="7"/>
      <c r="E44" s="7"/>
      <c r="F44" s="7"/>
      <c r="G44" s="7"/>
      <c r="H44" s="7"/>
      <c r="I44" s="23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13" t="s">
        <v>27</v>
      </c>
      <c r="C45" s="7"/>
      <c r="D45" s="7"/>
      <c r="E45" s="7"/>
      <c r="F45" s="7"/>
      <c r="G45" s="7"/>
      <c r="H45" s="7"/>
      <c r="I45" s="23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1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1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20" t="s">
        <v>47</v>
      </c>
      <c r="C48" s="10"/>
      <c r="D48" s="10"/>
      <c r="E48" s="10"/>
      <c r="F48" s="10"/>
      <c r="G48" s="10"/>
      <c r="H48" s="10"/>
      <c r="I48" s="11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6.25" customHeight="1">
      <c r="A49" s="6"/>
      <c r="B49" s="12" t="s">
        <v>41</v>
      </c>
      <c r="C49" s="21" t="s">
        <v>42</v>
      </c>
      <c r="D49" s="12" t="s">
        <v>34</v>
      </c>
      <c r="E49" s="12" t="s">
        <v>35</v>
      </c>
      <c r="F49" s="21" t="s">
        <v>36</v>
      </c>
      <c r="G49" s="21" t="s">
        <v>43</v>
      </c>
      <c r="H49" s="12" t="s">
        <v>38</v>
      </c>
      <c r="I49" s="12" t="s">
        <v>39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13" t="s">
        <v>23</v>
      </c>
      <c r="C50" s="7"/>
      <c r="D50" s="7"/>
      <c r="E50" s="7"/>
      <c r="F50" s="7"/>
      <c r="G50" s="7"/>
      <c r="H50" s="7"/>
      <c r="I50" s="23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13" t="s">
        <v>24</v>
      </c>
      <c r="C51" s="7"/>
      <c r="D51" s="7"/>
      <c r="E51" s="7"/>
      <c r="F51" s="7"/>
      <c r="G51" s="7"/>
      <c r="H51" s="7"/>
      <c r="I51" s="23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13" t="s">
        <v>25</v>
      </c>
      <c r="C52" s="7"/>
      <c r="D52" s="7"/>
      <c r="E52" s="7"/>
      <c r="F52" s="7"/>
      <c r="G52" s="7"/>
      <c r="H52" s="7"/>
      <c r="I52" s="23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13" t="s">
        <v>26</v>
      </c>
      <c r="C53" s="7"/>
      <c r="D53" s="7"/>
      <c r="E53" s="7"/>
      <c r="F53" s="7"/>
      <c r="G53" s="7"/>
      <c r="H53" s="7"/>
      <c r="I53" s="23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13" t="s">
        <v>27</v>
      </c>
      <c r="C54" s="7"/>
      <c r="D54" s="7"/>
      <c r="E54" s="7"/>
      <c r="F54" s="7"/>
      <c r="G54" s="7"/>
      <c r="H54" s="7"/>
      <c r="I54" s="23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1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24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5.5" customHeight="1">
      <c r="A57" s="6"/>
      <c r="B57" s="25"/>
      <c r="C57" s="26"/>
      <c r="D57" s="25"/>
      <c r="E57" s="25"/>
      <c r="F57" s="26"/>
      <c r="G57" s="26"/>
      <c r="H57" s="25"/>
      <c r="I57" s="2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17"/>
      <c r="C58" s="27"/>
      <c r="D58" s="27"/>
      <c r="E58" s="27"/>
      <c r="F58" s="27"/>
      <c r="G58" s="27"/>
      <c r="H58" s="27"/>
      <c r="I58" s="1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17"/>
      <c r="C59" s="27"/>
      <c r="D59" s="27"/>
      <c r="E59" s="27"/>
      <c r="F59" s="27"/>
      <c r="G59" s="27"/>
      <c r="H59" s="27"/>
      <c r="I59" s="1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17"/>
      <c r="C60" s="27"/>
      <c r="D60" s="27"/>
      <c r="E60" s="27"/>
      <c r="F60" s="27"/>
      <c r="G60" s="27"/>
      <c r="H60" s="27"/>
      <c r="I60" s="1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17"/>
      <c r="C61" s="27"/>
      <c r="D61" s="27"/>
      <c r="E61" s="27"/>
      <c r="F61" s="27"/>
      <c r="G61" s="27"/>
      <c r="H61" s="27"/>
      <c r="I61" s="1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17"/>
      <c r="C62" s="27"/>
      <c r="D62" s="27"/>
      <c r="E62" s="27"/>
      <c r="F62" s="27"/>
      <c r="G62" s="27"/>
      <c r="H62" s="27"/>
      <c r="I62" s="1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17"/>
      <c r="C63" s="27"/>
      <c r="D63" s="27"/>
      <c r="E63" s="27"/>
      <c r="F63" s="27"/>
      <c r="G63" s="27"/>
      <c r="H63" s="27"/>
      <c r="I63" s="1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17"/>
      <c r="C64" s="27"/>
      <c r="D64" s="27"/>
      <c r="E64" s="27"/>
      <c r="F64" s="27"/>
      <c r="G64" s="27"/>
      <c r="H64" s="27"/>
      <c r="I64" s="1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17"/>
      <c r="C65" s="27"/>
      <c r="D65" s="27"/>
      <c r="E65" s="27"/>
      <c r="F65" s="27"/>
      <c r="G65" s="27"/>
      <c r="H65" s="27"/>
      <c r="I65" s="17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17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24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4.75" customHeight="1">
      <c r="A68" s="6"/>
      <c r="B68" s="25"/>
      <c r="C68" s="26"/>
      <c r="D68" s="25"/>
      <c r="E68" s="25"/>
      <c r="F68" s="26"/>
      <c r="G68" s="26"/>
      <c r="H68" s="25"/>
      <c r="I68" s="2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17"/>
      <c r="C69" s="27"/>
      <c r="D69" s="27"/>
      <c r="E69" s="27"/>
      <c r="F69" s="27"/>
      <c r="G69" s="27"/>
      <c r="H69" s="27"/>
      <c r="I69" s="17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17"/>
      <c r="C70" s="27"/>
      <c r="D70" s="27"/>
      <c r="E70" s="27"/>
      <c r="F70" s="27"/>
      <c r="G70" s="27"/>
      <c r="H70" s="27"/>
      <c r="I70" s="17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17"/>
      <c r="C71" s="27"/>
      <c r="D71" s="27"/>
      <c r="E71" s="27"/>
      <c r="F71" s="27"/>
      <c r="G71" s="27"/>
      <c r="H71" s="27"/>
      <c r="I71" s="1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17"/>
      <c r="C72" s="27"/>
      <c r="D72" s="27"/>
      <c r="E72" s="27"/>
      <c r="F72" s="27"/>
      <c r="G72" s="27"/>
      <c r="H72" s="27"/>
      <c r="I72" s="17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17"/>
      <c r="C73" s="27"/>
      <c r="D73" s="27"/>
      <c r="E73" s="27"/>
      <c r="F73" s="27"/>
      <c r="G73" s="27"/>
      <c r="H73" s="27"/>
      <c r="I73" s="17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17"/>
      <c r="C74" s="27"/>
      <c r="D74" s="27"/>
      <c r="E74" s="27"/>
      <c r="F74" s="27"/>
      <c r="G74" s="27"/>
      <c r="H74" s="27"/>
      <c r="I74" s="17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17"/>
      <c r="C75" s="27"/>
      <c r="D75" s="27"/>
      <c r="E75" s="27"/>
      <c r="F75" s="27"/>
      <c r="G75" s="27"/>
      <c r="H75" s="27"/>
      <c r="I75" s="17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17"/>
      <c r="C76" s="27"/>
      <c r="D76" s="27"/>
      <c r="E76" s="27"/>
      <c r="F76" s="27"/>
      <c r="G76" s="27"/>
      <c r="H76" s="27"/>
      <c r="I76" s="17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17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24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5.5" customHeight="1">
      <c r="A79" s="6"/>
      <c r="B79" s="25"/>
      <c r="C79" s="26"/>
      <c r="D79" s="25"/>
      <c r="E79" s="25"/>
      <c r="F79" s="26"/>
      <c r="G79" s="26"/>
      <c r="H79" s="25"/>
      <c r="I79" s="2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17"/>
      <c r="C80" s="27"/>
      <c r="D80" s="27"/>
      <c r="E80" s="27"/>
      <c r="F80" s="27"/>
      <c r="G80" s="27"/>
      <c r="H80" s="27"/>
      <c r="I80" s="17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17"/>
      <c r="C81" s="27"/>
      <c r="D81" s="27"/>
      <c r="E81" s="27"/>
      <c r="F81" s="27"/>
      <c r="G81" s="27"/>
      <c r="H81" s="27"/>
      <c r="I81" s="17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17"/>
      <c r="C82" s="27"/>
      <c r="D82" s="27"/>
      <c r="E82" s="27"/>
      <c r="F82" s="27"/>
      <c r="G82" s="27"/>
      <c r="H82" s="27"/>
      <c r="I82" s="17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17"/>
      <c r="C83" s="27"/>
      <c r="D83" s="27"/>
      <c r="E83" s="27"/>
      <c r="F83" s="27"/>
      <c r="G83" s="27"/>
      <c r="H83" s="27"/>
      <c r="I83" s="17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17"/>
      <c r="C84" s="27"/>
      <c r="D84" s="27"/>
      <c r="E84" s="27"/>
      <c r="F84" s="27"/>
      <c r="G84" s="27"/>
      <c r="H84" s="27"/>
      <c r="I84" s="17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17"/>
      <c r="C85" s="27"/>
      <c r="D85" s="27"/>
      <c r="E85" s="27"/>
      <c r="F85" s="27"/>
      <c r="G85" s="27"/>
      <c r="H85" s="27"/>
      <c r="I85" s="17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17"/>
      <c r="C86" s="27"/>
      <c r="D86" s="27"/>
      <c r="E86" s="27"/>
      <c r="F86" s="27"/>
      <c r="G86" s="27"/>
      <c r="H86" s="27"/>
      <c r="I86" s="17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17"/>
      <c r="C87" s="27"/>
      <c r="D87" s="27"/>
      <c r="E87" s="27"/>
      <c r="F87" s="27"/>
      <c r="G87" s="27"/>
      <c r="H87" s="27"/>
      <c r="I87" s="1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17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24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4.75" customHeight="1">
      <c r="A90" s="6"/>
      <c r="B90" s="25"/>
      <c r="C90" s="26"/>
      <c r="D90" s="25"/>
      <c r="E90" s="25"/>
      <c r="F90" s="26"/>
      <c r="G90" s="26"/>
      <c r="H90" s="25"/>
      <c r="I90" s="2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17"/>
      <c r="C91" s="27"/>
      <c r="D91" s="27"/>
      <c r="E91" s="27"/>
      <c r="F91" s="27"/>
      <c r="G91" s="27"/>
      <c r="H91" s="27"/>
      <c r="I91" s="17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17"/>
      <c r="C92" s="27"/>
      <c r="D92" s="27"/>
      <c r="E92" s="27"/>
      <c r="F92" s="27"/>
      <c r="G92" s="27"/>
      <c r="H92" s="27"/>
      <c r="I92" s="17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17"/>
      <c r="C93" s="27"/>
      <c r="D93" s="27"/>
      <c r="E93" s="27"/>
      <c r="F93" s="27"/>
      <c r="G93" s="27"/>
      <c r="H93" s="27"/>
      <c r="I93" s="17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17"/>
      <c r="C94" s="27"/>
      <c r="D94" s="27"/>
      <c r="E94" s="27"/>
      <c r="F94" s="27"/>
      <c r="G94" s="27"/>
      <c r="H94" s="27"/>
      <c r="I94" s="17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17"/>
      <c r="C95" s="27"/>
      <c r="D95" s="27"/>
      <c r="E95" s="27"/>
      <c r="F95" s="27"/>
      <c r="G95" s="27"/>
      <c r="H95" s="27"/>
      <c r="I95" s="17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17"/>
      <c r="C96" s="27"/>
      <c r="D96" s="27"/>
      <c r="E96" s="27"/>
      <c r="F96" s="27"/>
      <c r="G96" s="27"/>
      <c r="H96" s="27"/>
      <c r="I96" s="17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17"/>
      <c r="C97" s="27"/>
      <c r="D97" s="27"/>
      <c r="E97" s="27"/>
      <c r="F97" s="27"/>
      <c r="G97" s="27"/>
      <c r="H97" s="27"/>
      <c r="I97" s="17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17"/>
      <c r="C98" s="27"/>
      <c r="D98" s="27"/>
      <c r="E98" s="27"/>
      <c r="F98" s="27"/>
      <c r="G98" s="27"/>
      <c r="H98" s="27"/>
      <c r="I98" s="17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17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24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4.75" customHeight="1">
      <c r="A101" s="6"/>
      <c r="B101" s="25"/>
      <c r="C101" s="26"/>
      <c r="D101" s="25"/>
      <c r="E101" s="25"/>
      <c r="F101" s="26"/>
      <c r="G101" s="26"/>
      <c r="H101" s="25"/>
      <c r="I101" s="2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17"/>
      <c r="C102" s="27"/>
      <c r="D102" s="27"/>
      <c r="E102" s="27"/>
      <c r="F102" s="27"/>
      <c r="G102" s="27"/>
      <c r="H102" s="27"/>
      <c r="I102" s="17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17"/>
      <c r="C103" s="27"/>
      <c r="D103" s="27"/>
      <c r="E103" s="27"/>
      <c r="F103" s="27"/>
      <c r="G103" s="27"/>
      <c r="H103" s="27"/>
      <c r="I103" s="17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17"/>
      <c r="C104" s="27"/>
      <c r="D104" s="27"/>
      <c r="E104" s="27"/>
      <c r="F104" s="27"/>
      <c r="G104" s="27"/>
      <c r="H104" s="27"/>
      <c r="I104" s="17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17"/>
      <c r="C105" s="27"/>
      <c r="D105" s="27"/>
      <c r="E105" s="27"/>
      <c r="F105" s="27"/>
      <c r="G105" s="27"/>
      <c r="H105" s="27"/>
      <c r="I105" s="17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17"/>
      <c r="C106" s="27"/>
      <c r="D106" s="27"/>
      <c r="E106" s="27"/>
      <c r="F106" s="27"/>
      <c r="G106" s="27"/>
      <c r="H106" s="27"/>
      <c r="I106" s="17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17"/>
      <c r="C107" s="27"/>
      <c r="D107" s="27"/>
      <c r="E107" s="27"/>
      <c r="F107" s="27"/>
      <c r="G107" s="27"/>
      <c r="H107" s="27"/>
      <c r="I107" s="17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17"/>
      <c r="C108" s="27"/>
      <c r="D108" s="27"/>
      <c r="E108" s="27"/>
      <c r="F108" s="27"/>
      <c r="G108" s="27"/>
      <c r="H108" s="27"/>
      <c r="I108" s="17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17"/>
      <c r="C109" s="27"/>
      <c r="D109" s="27"/>
      <c r="E109" s="27"/>
      <c r="F109" s="27"/>
      <c r="G109" s="27"/>
      <c r="H109" s="27"/>
      <c r="I109" s="17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17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17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17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17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17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17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17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17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17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17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17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17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17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17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17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17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17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17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17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17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17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17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17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17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17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17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17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17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17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17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17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17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17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17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17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17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17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17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17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17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17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17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17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17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17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17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17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17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17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17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17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17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17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17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17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17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17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17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17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17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17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17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17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17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17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17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17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17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17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17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17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17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17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17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17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17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17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17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17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17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17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17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17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17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17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17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17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17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17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17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17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17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17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17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17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17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17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17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17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17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17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17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17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17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17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17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17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17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17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17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17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17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17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17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17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17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17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17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17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17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17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17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17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17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17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17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17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17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17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17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17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17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17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17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17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17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17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17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17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17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17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17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17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17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17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17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17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17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17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17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17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17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17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17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17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17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17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17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17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17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17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17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17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17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17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17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17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17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17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17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17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17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17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17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17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17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17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17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17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17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17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17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17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17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17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17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17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17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17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17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17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17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17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17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17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17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17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17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17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17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</sheetData>
  <mergeCells count="10">
    <mergeCell ref="B78:I78"/>
    <mergeCell ref="B89:I89"/>
    <mergeCell ref="B100:I100"/>
    <mergeCell ref="B12:I12"/>
    <mergeCell ref="B21:I21"/>
    <mergeCell ref="B30:I30"/>
    <mergeCell ref="B39:I39"/>
    <mergeCell ref="B48:I48"/>
    <mergeCell ref="B56:I56"/>
    <mergeCell ref="B67:I67"/>
  </mergeCells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2.75"/>
    <col customWidth="1" min="3" max="3" width="11.25"/>
    <col customWidth="1" min="4" max="7" width="11.5"/>
  </cols>
  <sheetData>
    <row r="1" ht="12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ht="12.75" customHeight="1">
      <c r="A2" s="6"/>
      <c r="B2" s="28"/>
      <c r="C2" s="29" t="s">
        <v>9</v>
      </c>
      <c r="D2" s="10"/>
      <c r="E2" s="10"/>
      <c r="F2" s="10"/>
      <c r="G2" s="1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12.75" customHeight="1">
      <c r="A3" s="6"/>
      <c r="B3" s="30"/>
      <c r="C3" s="31" t="s">
        <v>3</v>
      </c>
      <c r="D3" s="14" t="s">
        <v>4</v>
      </c>
      <c r="E3" s="14" t="s">
        <v>48</v>
      </c>
      <c r="F3" s="14" t="s">
        <v>49</v>
      </c>
      <c r="G3" s="14" t="s">
        <v>50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ht="12.75" customHeight="1">
      <c r="A4" s="6"/>
      <c r="B4" s="13" t="s">
        <v>23</v>
      </c>
      <c r="C4" s="7">
        <f>SUM('Informes por bloque'!C14:I14)</f>
        <v>11.6</v>
      </c>
      <c r="D4" s="7">
        <f>SUM('Informes por bloque'!C23:I23)</f>
        <v>0</v>
      </c>
      <c r="E4" s="7">
        <f>SUM('Informes por bloque'!C32:I32)</f>
        <v>0</v>
      </c>
      <c r="F4" s="7">
        <f>SUM('Informes por bloque'!C41:I41)</f>
        <v>0</v>
      </c>
      <c r="G4" s="7">
        <f>SUM('Informes por bloque'!C50:I50)</f>
        <v>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ht="12.75" customHeight="1">
      <c r="A5" s="6"/>
      <c r="B5" s="13" t="s">
        <v>24</v>
      </c>
      <c r="C5" s="7">
        <f>SUM('Informes por bloque'!C15:I15)</f>
        <v>15.65</v>
      </c>
      <c r="D5" s="7">
        <f>SUM('Informes por bloque'!C24:I24)</f>
        <v>0</v>
      </c>
      <c r="E5" s="7">
        <f>SUM('Informes por bloque'!C33:I33)</f>
        <v>0</v>
      </c>
      <c r="F5" s="7">
        <f>SUM('Informes por bloque'!C42:I42)</f>
        <v>0</v>
      </c>
      <c r="G5" s="7">
        <f>SUM('Informes por bloque'!C51:I51)</f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ht="12.75" customHeight="1">
      <c r="A6" s="6"/>
      <c r="B6" s="13" t="s">
        <v>25</v>
      </c>
      <c r="C6" s="7">
        <f>SUM('Informes por bloque'!C16:I16)</f>
        <v>11.6</v>
      </c>
      <c r="D6" s="7">
        <f>SUM('Informes por bloque'!C25:I25)</f>
        <v>0</v>
      </c>
      <c r="E6" s="7">
        <f>SUM('Informes por bloque'!C34:I34)</f>
        <v>0</v>
      </c>
      <c r="F6" s="7">
        <f>SUM('Informes por bloque'!C43:I43)</f>
        <v>0</v>
      </c>
      <c r="G6" s="7">
        <f>SUM('Informes por bloque'!C52:I52)</f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ht="12.75" customHeight="1">
      <c r="A7" s="6"/>
      <c r="B7" s="13" t="s">
        <v>26</v>
      </c>
      <c r="C7" s="7">
        <f>SUM('Informes por bloque'!C17:I17)</f>
        <v>15.65</v>
      </c>
      <c r="D7" s="7">
        <f>SUM('Informes por bloque'!C26:I26)</f>
        <v>0</v>
      </c>
      <c r="E7" s="7">
        <f>SUM('Informes por bloque'!C35:I35)</f>
        <v>0</v>
      </c>
      <c r="F7" s="7">
        <f>SUM('Informes por bloque'!C44:I44)</f>
        <v>0</v>
      </c>
      <c r="G7" s="7">
        <f>SUM('Informes por bloque'!C53:I53)</f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ht="12.75" customHeight="1">
      <c r="A8" s="6"/>
      <c r="B8" s="13" t="s">
        <v>27</v>
      </c>
      <c r="C8" s="7">
        <f>SUM('Informes por bloque'!C18:I18)</f>
        <v>20</v>
      </c>
      <c r="D8" s="7">
        <f>SUM('Informes por bloque'!C27:I27)</f>
        <v>0</v>
      </c>
      <c r="E8" s="7">
        <f>SUM('Informes por bloque'!C36:I36)</f>
        <v>0</v>
      </c>
      <c r="F8" s="7">
        <f>SUM('Informes por bloque'!C45:I45)</f>
        <v>0</v>
      </c>
      <c r="G8" s="7">
        <f>SUM('Informes por bloque'!C54:I54)</f>
        <v>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ht="12.75" customHeight="1">
      <c r="A9" s="6"/>
      <c r="B9" s="27"/>
      <c r="C9" s="27"/>
      <c r="D9" s="27"/>
      <c r="E9" s="27"/>
      <c r="F9" s="27"/>
      <c r="G9" s="2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ht="12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ht="12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ht="12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</sheetData>
  <mergeCells count="1">
    <mergeCell ref="C2:G2"/>
  </mergeCells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22.75"/>
    <col customWidth="1" min="4" max="4" width="11.5"/>
    <col customWidth="1" min="5" max="5" width="13.13"/>
    <col customWidth="1" min="6" max="6" width="11.5"/>
    <col customWidth="1" min="7" max="7" width="12.0"/>
    <col customWidth="1" min="8" max="11" width="11.5"/>
  </cols>
  <sheetData>
    <row r="1" ht="12.75" customHeight="1">
      <c r="A1" s="6"/>
      <c r="B1" s="6"/>
      <c r="C1" s="6"/>
      <c r="D1" s="6"/>
      <c r="E1" s="6"/>
      <c r="F1" s="6"/>
      <c r="G1" s="6"/>
      <c r="H1" s="6"/>
      <c r="I1" s="6"/>
      <c r="J1" s="6" t="s">
        <v>51</v>
      </c>
      <c r="K1" s="6"/>
      <c r="L1" s="6"/>
      <c r="M1" s="6"/>
      <c r="N1" s="6"/>
      <c r="O1" s="6"/>
      <c r="P1" s="6"/>
      <c r="Q1" s="6"/>
      <c r="R1" s="6"/>
    </row>
    <row r="2" ht="39.75" customHeight="1">
      <c r="A2" s="6"/>
      <c r="B2" s="6"/>
      <c r="C2" s="6"/>
      <c r="D2" s="32" t="s">
        <v>6</v>
      </c>
      <c r="E2" s="32" t="s">
        <v>52</v>
      </c>
      <c r="F2" s="32" t="s">
        <v>8</v>
      </c>
      <c r="G2" s="32" t="s">
        <v>53</v>
      </c>
      <c r="H2" s="32" t="s">
        <v>54</v>
      </c>
      <c r="I2" s="32" t="s">
        <v>55</v>
      </c>
      <c r="J2" s="6"/>
      <c r="K2" s="6"/>
      <c r="L2" s="6"/>
      <c r="M2" s="6"/>
      <c r="N2" s="6"/>
      <c r="O2" s="6"/>
      <c r="P2" s="6"/>
      <c r="Q2" s="6"/>
      <c r="R2" s="6"/>
    </row>
    <row r="3" ht="12.75" customHeight="1">
      <c r="A3" s="6"/>
      <c r="B3" s="13" t="s">
        <v>56</v>
      </c>
      <c r="C3" s="13" t="s">
        <v>23</v>
      </c>
      <c r="D3" s="7">
        <f>AVERAGE(Cuaderno!C16:L16)*Ponderaciones!$D$7</f>
        <v>1.44</v>
      </c>
      <c r="E3" s="7">
        <f>AVERAGE('Gestión del laboratorio'!C4:L4)*Ponderaciones!$D$8</f>
        <v>1.35</v>
      </c>
      <c r="F3" s="7">
        <f>AVERAGE(Quiz!C5:L5)*Ponderaciones!$D$9</f>
        <v>2.1375</v>
      </c>
      <c r="G3" s="7">
        <f>AVERAGE('Notas informes'!C4:G4)*Ponderaciones!$D$10</f>
        <v>0.928</v>
      </c>
      <c r="H3" s="33">
        <f t="shared" ref="H3:H7" si="1">SUM(D3:G3)</f>
        <v>5.8555</v>
      </c>
      <c r="I3" s="33">
        <f>H3*Ponderaciones!$D$3</f>
        <v>4.977175</v>
      </c>
      <c r="J3" s="6"/>
      <c r="K3" s="6"/>
      <c r="L3" s="6"/>
      <c r="M3" s="6"/>
      <c r="N3" s="6"/>
      <c r="O3" s="6"/>
      <c r="P3" s="6"/>
      <c r="Q3" s="6"/>
      <c r="R3" s="6"/>
    </row>
    <row r="4" ht="12.75" customHeight="1">
      <c r="A4" s="6"/>
      <c r="B4" s="13" t="s">
        <v>57</v>
      </c>
      <c r="C4" s="13" t="s">
        <v>24</v>
      </c>
      <c r="D4" s="7">
        <f>AVERAGE(Cuaderno!C17:L17)*Ponderaciones!$D$7</f>
        <v>1.38</v>
      </c>
      <c r="E4" s="7">
        <f>AVERAGE('Gestión del laboratorio'!C5:L5)*Ponderaciones!$D$8</f>
        <v>1.335</v>
      </c>
      <c r="F4" s="7">
        <f>AVERAGE(Quiz!C6:L6)*Ponderaciones!$D$9</f>
        <v>2.2625</v>
      </c>
      <c r="G4" s="7">
        <f>AVERAGE('Notas informes'!C5:G5)*Ponderaciones!$D$10</f>
        <v>1.252</v>
      </c>
      <c r="H4" s="33">
        <f t="shared" si="1"/>
        <v>6.2295</v>
      </c>
      <c r="I4" s="33">
        <f>H4*Ponderaciones!$D$3</f>
        <v>5.295075</v>
      </c>
      <c r="J4" s="6"/>
      <c r="K4" s="6"/>
      <c r="L4" s="6"/>
      <c r="M4" s="6"/>
      <c r="N4" s="6"/>
      <c r="O4" s="6"/>
      <c r="P4" s="6"/>
      <c r="Q4" s="6"/>
      <c r="R4" s="6"/>
    </row>
    <row r="5" ht="12.75" customHeight="1">
      <c r="A5" s="6"/>
      <c r="B5" s="13" t="s">
        <v>58</v>
      </c>
      <c r="C5" s="13" t="s">
        <v>25</v>
      </c>
      <c r="D5" s="7">
        <f>AVERAGE(Cuaderno!C18:L18)*Ponderaciones!$D$7</f>
        <v>1.58</v>
      </c>
      <c r="E5" s="7">
        <f>AVERAGE('Gestión del laboratorio'!C6:L6)*Ponderaciones!$D$8</f>
        <v>1.155</v>
      </c>
      <c r="F5" s="7">
        <f>AVERAGE(Quiz!C7:L7)*Ponderaciones!$D$9</f>
        <v>1.6</v>
      </c>
      <c r="G5" s="7">
        <f>AVERAGE('Notas informes'!C6:G6)*Ponderaciones!$D$10</f>
        <v>0.928</v>
      </c>
      <c r="H5" s="33">
        <f t="shared" si="1"/>
        <v>5.263</v>
      </c>
      <c r="I5" s="33">
        <f>H5*Ponderaciones!$D$3</f>
        <v>4.47355</v>
      </c>
      <c r="J5" s="6"/>
      <c r="K5" s="6"/>
      <c r="L5" s="6"/>
      <c r="M5" s="6"/>
      <c r="N5" s="6"/>
      <c r="O5" s="6"/>
      <c r="P5" s="6"/>
      <c r="Q5" s="6"/>
      <c r="R5" s="6"/>
    </row>
    <row r="6" ht="12.75" customHeight="1">
      <c r="A6" s="6"/>
      <c r="B6" s="13" t="s">
        <v>59</v>
      </c>
      <c r="C6" s="13" t="s">
        <v>26</v>
      </c>
      <c r="D6" s="7">
        <f>AVERAGE(Cuaderno!C19:L19)*Ponderaciones!$D$7</f>
        <v>1.16</v>
      </c>
      <c r="E6" s="7">
        <f>AVERAGE('Gestión del laboratorio'!C7:L7)*Ponderaciones!$D$8</f>
        <v>1.305</v>
      </c>
      <c r="F6" s="7">
        <f>AVERAGE(Quiz!C8:L8)*Ponderaciones!$D$9</f>
        <v>2.3625</v>
      </c>
      <c r="G6" s="7">
        <f>AVERAGE('Notas informes'!C7:G7)*Ponderaciones!$D$10</f>
        <v>1.252</v>
      </c>
      <c r="H6" s="33">
        <f t="shared" si="1"/>
        <v>6.0795</v>
      </c>
      <c r="I6" s="33">
        <f>H6*Ponderaciones!$D$3</f>
        <v>5.167575</v>
      </c>
      <c r="J6" s="6"/>
      <c r="K6" s="6"/>
      <c r="L6" s="6"/>
      <c r="M6" s="6"/>
      <c r="N6" s="6"/>
      <c r="O6" s="6"/>
      <c r="P6" s="6"/>
      <c r="Q6" s="6"/>
      <c r="R6" s="6"/>
    </row>
    <row r="7" ht="12.75" customHeight="1">
      <c r="A7" s="6"/>
      <c r="B7" s="13" t="s">
        <v>60</v>
      </c>
      <c r="C7" s="13" t="s">
        <v>27</v>
      </c>
      <c r="D7" s="7">
        <f>AVERAGE(Cuaderno!C20:L20)*Ponderaciones!$D$7</f>
        <v>1.19</v>
      </c>
      <c r="E7" s="7">
        <f>AVERAGE('Gestión del laboratorio'!C8:L8)*Ponderaciones!$D$8</f>
        <v>1.425</v>
      </c>
      <c r="F7" s="7">
        <f>AVERAGE(Quiz!C9:L9)*Ponderaciones!$D$9</f>
        <v>2.1</v>
      </c>
      <c r="G7" s="7">
        <f>AVERAGE('Notas informes'!C8:G8)*Ponderaciones!$D$10</f>
        <v>1.6</v>
      </c>
      <c r="H7" s="33">
        <f t="shared" si="1"/>
        <v>6.315</v>
      </c>
      <c r="I7" s="33">
        <f>H7*Ponderaciones!$D$3</f>
        <v>5.36775</v>
      </c>
      <c r="J7" s="6"/>
      <c r="K7" s="6"/>
      <c r="L7" s="6"/>
      <c r="M7" s="6"/>
      <c r="N7" s="6"/>
      <c r="O7" s="6"/>
      <c r="P7" s="6"/>
      <c r="Q7" s="6"/>
      <c r="R7" s="6"/>
    </row>
    <row r="8" ht="12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ht="12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ht="12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ht="12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ht="12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2.75"/>
    <col customWidth="1" min="3" max="3" width="11.25"/>
    <col customWidth="1" min="4" max="6" width="11.5"/>
  </cols>
  <sheetData>
    <row r="1" ht="12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>
      <c r="A2" s="6"/>
      <c r="B2" s="28"/>
      <c r="C2" s="32" t="s">
        <v>61</v>
      </c>
      <c r="D2" s="32" t="s">
        <v>62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12.75" customHeight="1">
      <c r="A3" s="6"/>
      <c r="B3" s="13" t="s">
        <v>23</v>
      </c>
      <c r="C3" s="8">
        <v>0.0</v>
      </c>
      <c r="D3" s="5">
        <f>C3*Ponderaciones!$D$4</f>
        <v>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12.75" customHeight="1">
      <c r="A4" s="6"/>
      <c r="B4" s="13" t="s">
        <v>24</v>
      </c>
      <c r="C4" s="7">
        <v>0.0</v>
      </c>
      <c r="D4" s="5">
        <f>C4*Ponderaciones!$D$4</f>
        <v>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12.75" customHeight="1">
      <c r="A5" s="6"/>
      <c r="B5" s="13" t="s">
        <v>25</v>
      </c>
      <c r="C5" s="7">
        <v>0.0</v>
      </c>
      <c r="D5" s="5">
        <f>C5*Ponderaciones!$D$4</f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ht="12.75" customHeight="1">
      <c r="A6" s="6"/>
      <c r="B6" s="13" t="s">
        <v>26</v>
      </c>
      <c r="C6" s="7">
        <v>0.0</v>
      </c>
      <c r="D6" s="5">
        <f>C6*Ponderaciones!$D$4</f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2.75" customHeight="1">
      <c r="A7" s="6"/>
      <c r="B7" s="13" t="s">
        <v>27</v>
      </c>
      <c r="C7" s="7">
        <v>0.0</v>
      </c>
      <c r="D7" s="5">
        <f>C7*Ponderaciones!$D$4</f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1">
      <c r="A8" s="6"/>
      <c r="B8" s="27"/>
      <c r="C8" s="2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22.75"/>
    <col customWidth="1" min="4" max="7" width="11.5"/>
  </cols>
  <sheetData>
    <row r="1" ht="12.75" customHeight="1">
      <c r="A1" s="6"/>
      <c r="B1" s="6"/>
      <c r="C1" s="6"/>
      <c r="D1" s="6"/>
      <c r="E1" s="6"/>
      <c r="F1" s="6" t="s">
        <v>51</v>
      </c>
      <c r="G1" s="6"/>
      <c r="H1" s="6"/>
      <c r="I1" s="6"/>
      <c r="J1" s="6"/>
      <c r="K1" s="6"/>
      <c r="L1" s="6"/>
      <c r="M1" s="6"/>
      <c r="N1" s="6"/>
    </row>
    <row r="2" ht="39.75" customHeight="1">
      <c r="A2" s="6"/>
      <c r="B2" s="6"/>
      <c r="C2" s="6"/>
      <c r="D2" s="34" t="s">
        <v>55</v>
      </c>
      <c r="E2" s="32" t="s">
        <v>62</v>
      </c>
      <c r="F2" s="32" t="s">
        <v>63</v>
      </c>
      <c r="G2" s="32" t="s">
        <v>64</v>
      </c>
      <c r="H2" s="6"/>
      <c r="I2" s="6"/>
      <c r="J2" s="6"/>
      <c r="K2" s="6"/>
      <c r="L2" s="6"/>
      <c r="M2" s="6"/>
      <c r="N2" s="6"/>
    </row>
    <row r="3" ht="12.75" customHeight="1">
      <c r="A3" s="6"/>
      <c r="B3" s="13" t="s">
        <v>56</v>
      </c>
      <c r="C3" s="13" t="s">
        <v>23</v>
      </c>
      <c r="D3" s="33">
        <f>'Acumulado Bloque A'!I3</f>
        <v>4.977175</v>
      </c>
      <c r="E3" s="33">
        <f>'Seminario - Bloque B'!D3</f>
        <v>0</v>
      </c>
      <c r="F3" s="2">
        <f t="shared" ref="F3:F7" si="1">SUM(D3:E3)</f>
        <v>4.977175</v>
      </c>
      <c r="G3" s="35">
        <f t="shared" ref="G3:G7" si="2">F3</f>
        <v>4.977175</v>
      </c>
      <c r="H3" s="6"/>
      <c r="I3" s="6"/>
      <c r="J3" s="6"/>
      <c r="K3" s="6"/>
      <c r="L3" s="6"/>
      <c r="M3" s="6"/>
      <c r="N3" s="6"/>
    </row>
    <row r="4" ht="12.75" customHeight="1">
      <c r="A4" s="6"/>
      <c r="B4" s="13" t="s">
        <v>57</v>
      </c>
      <c r="C4" s="13" t="s">
        <v>24</v>
      </c>
      <c r="D4" s="33">
        <f>'Acumulado Bloque A'!I4</f>
        <v>5.295075</v>
      </c>
      <c r="E4" s="33">
        <f>'Seminario - Bloque B'!D4</f>
        <v>0</v>
      </c>
      <c r="F4" s="2">
        <f t="shared" si="1"/>
        <v>5.295075</v>
      </c>
      <c r="G4" s="35">
        <f t="shared" si="2"/>
        <v>5.295075</v>
      </c>
      <c r="H4" s="6"/>
      <c r="I4" s="6"/>
      <c r="J4" s="6"/>
      <c r="K4" s="6"/>
      <c r="L4" s="6"/>
      <c r="M4" s="6"/>
      <c r="N4" s="6"/>
    </row>
    <row r="5" ht="12.75" customHeight="1">
      <c r="A5" s="6"/>
      <c r="B5" s="13" t="s">
        <v>58</v>
      </c>
      <c r="C5" s="13" t="s">
        <v>25</v>
      </c>
      <c r="D5" s="33">
        <f>'Acumulado Bloque A'!I5</f>
        <v>4.47355</v>
      </c>
      <c r="E5" s="33">
        <f>'Seminario - Bloque B'!D5</f>
        <v>0</v>
      </c>
      <c r="F5" s="2">
        <f t="shared" si="1"/>
        <v>4.47355</v>
      </c>
      <c r="G5" s="35">
        <f t="shared" si="2"/>
        <v>4.47355</v>
      </c>
      <c r="H5" s="6"/>
      <c r="I5" s="6"/>
      <c r="J5" s="6"/>
      <c r="K5" s="6"/>
      <c r="L5" s="6"/>
      <c r="M5" s="6"/>
      <c r="N5" s="6"/>
    </row>
    <row r="6" ht="12.75" customHeight="1">
      <c r="A6" s="6"/>
      <c r="B6" s="13" t="s">
        <v>59</v>
      </c>
      <c r="C6" s="13" t="s">
        <v>26</v>
      </c>
      <c r="D6" s="33">
        <f>'Acumulado Bloque A'!I6</f>
        <v>5.167575</v>
      </c>
      <c r="E6" s="33">
        <f>'Seminario - Bloque B'!D6</f>
        <v>0</v>
      </c>
      <c r="F6" s="2">
        <f t="shared" si="1"/>
        <v>5.167575</v>
      </c>
      <c r="G6" s="35">
        <f t="shared" si="2"/>
        <v>5.167575</v>
      </c>
      <c r="H6" s="6"/>
      <c r="I6" s="6"/>
      <c r="J6" s="6"/>
      <c r="K6" s="6"/>
      <c r="L6" s="6"/>
      <c r="M6" s="6"/>
      <c r="N6" s="6"/>
    </row>
    <row r="7" ht="12.75" customHeight="1">
      <c r="A7" s="6"/>
      <c r="B7" s="13" t="s">
        <v>60</v>
      </c>
      <c r="C7" s="13" t="s">
        <v>27</v>
      </c>
      <c r="D7" s="33">
        <f>'Acumulado Bloque A'!I7</f>
        <v>5.36775</v>
      </c>
      <c r="E7" s="33">
        <f>'Seminario - Bloque B'!D7</f>
        <v>0</v>
      </c>
      <c r="F7" s="2">
        <f t="shared" si="1"/>
        <v>5.36775</v>
      </c>
      <c r="G7" s="35">
        <f t="shared" si="2"/>
        <v>5.36775</v>
      </c>
      <c r="H7" s="6"/>
      <c r="I7" s="6"/>
      <c r="J7" s="6"/>
      <c r="K7" s="6"/>
      <c r="L7" s="6"/>
      <c r="M7" s="6"/>
      <c r="N7" s="6"/>
    </row>
    <row r="8" ht="12.75" customHeight="1">
      <c r="A8" s="6"/>
      <c r="B8" s="6"/>
      <c r="C8" s="6"/>
      <c r="D8" s="6"/>
      <c r="E8" s="6"/>
      <c r="F8" s="6"/>
      <c r="G8" s="6" t="s">
        <v>65</v>
      </c>
      <c r="H8" s="6"/>
      <c r="I8" s="6"/>
      <c r="J8" s="6"/>
      <c r="K8" s="6"/>
      <c r="L8" s="6"/>
      <c r="M8" s="6"/>
      <c r="N8" s="6"/>
    </row>
    <row r="9" ht="12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12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ht="12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ht="12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</row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2024-11-23T10:34:11Z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